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sk-Assessment-Compliance\Data\"/>
    </mc:Choice>
  </mc:AlternateContent>
  <xr:revisionPtr revIDLastSave="0" documentId="13_ncr:1_{34D955DD-E4D4-4B57-A5FB-5C0E217D3AA3}" xr6:coauthVersionLast="47" xr6:coauthVersionMax="47" xr10:uidLastSave="{00000000-0000-0000-0000-000000000000}"/>
  <bookViews>
    <workbookView xWindow="-108" yWindow="-108" windowWidth="23256" windowHeight="12456" firstSheet="2" activeTab="2" xr2:uid="{790261D1-E780-433E-8BAD-5CFEB3B5EE80}"/>
  </bookViews>
  <sheets>
    <sheet name="Assets" sheetId="1" r:id="rId1"/>
    <sheet name="Risks" sheetId="2" r:id="rId2"/>
    <sheet name="Vulnerabilities" sheetId="3" r:id="rId3"/>
    <sheet name="Dashboard Data" sheetId="8" r:id="rId4"/>
    <sheet name="Risk Matrix" sheetId="7" r:id="rId5"/>
    <sheet name="Risk Scale" sheetId="6" r:id="rId6"/>
    <sheet name="Compliance" sheetId="4" r:id="rId7"/>
    <sheet name="Compliance Summary." sheetId="9" r:id="rId8"/>
    <sheet name="Recommendation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9" l="1"/>
  <c r="B7" i="9"/>
  <c r="B5" i="9"/>
  <c r="B4" i="9"/>
  <c r="B3" i="9"/>
  <c r="B2" i="9"/>
  <c r="B7" i="8"/>
  <c r="B6" i="8"/>
  <c r="B5" i="8"/>
  <c r="B4" i="8"/>
  <c r="B3" i="8"/>
  <c r="B2" i="8"/>
  <c r="H3" i="3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</calcChain>
</file>

<file path=xl/sharedStrings.xml><?xml version="1.0" encoding="utf-8"?>
<sst xmlns="http://schemas.openxmlformats.org/spreadsheetml/2006/main" count="340" uniqueCount="240">
  <si>
    <t>Asset ID</t>
  </si>
  <si>
    <t>Asset Name</t>
  </si>
  <si>
    <t>Department</t>
  </si>
  <si>
    <t>Owner</t>
  </si>
  <si>
    <t>Location</t>
  </si>
  <si>
    <t>Criticality</t>
  </si>
  <si>
    <t>Asset Type</t>
  </si>
  <si>
    <t>A001</t>
  </si>
  <si>
    <t>Domain Controller</t>
  </si>
  <si>
    <t>IT</t>
  </si>
  <si>
    <t>IT Manager</t>
  </si>
  <si>
    <t>Server Room</t>
  </si>
  <si>
    <t>High</t>
  </si>
  <si>
    <t>Server</t>
  </si>
  <si>
    <t>A002</t>
  </si>
  <si>
    <t>HR Database</t>
  </si>
  <si>
    <t>HR</t>
  </si>
  <si>
    <t>HR Manager</t>
  </si>
  <si>
    <t>SQL Server</t>
  </si>
  <si>
    <t>Database</t>
  </si>
  <si>
    <t>A003</t>
  </si>
  <si>
    <t>Finance Server</t>
  </si>
  <si>
    <t>Finance</t>
  </si>
  <si>
    <t>CFO</t>
  </si>
  <si>
    <t>Azure</t>
  </si>
  <si>
    <t>A004</t>
  </si>
  <si>
    <t>Employee Laptop 01</t>
  </si>
  <si>
    <t>John Smith</t>
  </si>
  <si>
    <t>Office</t>
  </si>
  <si>
    <t>Medium</t>
  </si>
  <si>
    <t>Laptop</t>
  </si>
  <si>
    <t>A005</t>
  </si>
  <si>
    <t>CEO Laptop</t>
  </si>
  <si>
    <t>Executive</t>
  </si>
  <si>
    <t>CEO</t>
  </si>
  <si>
    <t>A006</t>
  </si>
  <si>
    <t>Microsoft 365</t>
  </si>
  <si>
    <t>Cloud</t>
  </si>
  <si>
    <t>SaaS</t>
  </si>
  <si>
    <t>A007</t>
  </si>
  <si>
    <t>Company Website</t>
  </si>
  <si>
    <t>Marketing</t>
  </si>
  <si>
    <t>Marketing Manager</t>
  </si>
  <si>
    <t>Web Server</t>
  </si>
  <si>
    <t>A008</t>
  </si>
  <si>
    <t>File Server</t>
  </si>
  <si>
    <t>Storage</t>
  </si>
  <si>
    <t>A009</t>
  </si>
  <si>
    <t>Network Switch</t>
  </si>
  <si>
    <t>Network Admin</t>
  </si>
  <si>
    <t>Network Device</t>
  </si>
  <si>
    <t>A010</t>
  </si>
  <si>
    <t>Firewall</t>
  </si>
  <si>
    <t>Security Admin</t>
  </si>
  <si>
    <t>Critical</t>
  </si>
  <si>
    <t>Security Device</t>
  </si>
  <si>
    <t>Risk ID</t>
  </si>
  <si>
    <t>Risk Name</t>
  </si>
  <si>
    <t>Category</t>
  </si>
  <si>
    <t>Description</t>
  </si>
  <si>
    <t>Weak Passwords</t>
  </si>
  <si>
    <t>Identity</t>
  </si>
  <si>
    <t>Weak password policy</t>
  </si>
  <si>
    <t>Missing Windows Updates</t>
  </si>
  <si>
    <t>Patch Management</t>
  </si>
  <si>
    <t>Systems not updated</t>
  </si>
  <si>
    <t>Phishing</t>
  </si>
  <si>
    <t>Social Engineering</t>
  </si>
  <si>
    <t>Users click malicious emails</t>
  </si>
  <si>
    <t>Malware</t>
  </si>
  <si>
    <t>Endpoint Security</t>
  </si>
  <si>
    <t>Malware infection</t>
  </si>
  <si>
    <t>Insider Threat</t>
  </si>
  <si>
    <t>Human</t>
  </si>
  <si>
    <t>Employee misuse</t>
  </si>
  <si>
    <t>SQL Injection</t>
  </si>
  <si>
    <t>Application Security</t>
  </si>
  <si>
    <t>Database attack</t>
  </si>
  <si>
    <t>Data Leakage</t>
  </si>
  <si>
    <t>Data Security</t>
  </si>
  <si>
    <t>Sensitive data exposed</t>
  </si>
  <si>
    <t>Backup Failure</t>
  </si>
  <si>
    <t>Disaster Recovery</t>
  </si>
  <si>
    <t>Failed backups</t>
  </si>
  <si>
    <t>Ransomware</t>
  </si>
  <si>
    <t>Data encryption attack</t>
  </si>
  <si>
    <t>DDoS Attack</t>
  </si>
  <si>
    <t>Network Security</t>
  </si>
  <si>
    <t>Website unavailable</t>
  </si>
  <si>
    <t>Vulnerability ID</t>
  </si>
  <si>
    <t>Vulnerability</t>
  </si>
  <si>
    <t>Likelihood</t>
  </si>
  <si>
    <t>Impact</t>
  </si>
  <si>
    <t>Risk Score</t>
  </si>
  <si>
    <t>Risk Level</t>
  </si>
  <si>
    <t>V001</t>
  </si>
  <si>
    <t>Weak Password Policy</t>
  </si>
  <si>
    <t>V002</t>
  </si>
  <si>
    <t>Missing Security Updates</t>
  </si>
  <si>
    <t>V003</t>
  </si>
  <si>
    <t>No Security Awareness Training</t>
  </si>
  <si>
    <t>V004</t>
  </si>
  <si>
    <t>Antivirus Outdated</t>
  </si>
  <si>
    <t>V005</t>
  </si>
  <si>
    <t>Excessive User Permissions</t>
  </si>
  <si>
    <t>V006</t>
  </si>
  <si>
    <t>Unsanitized SQL Input</t>
  </si>
  <si>
    <t>V007</t>
  </si>
  <si>
    <t>Sensitive Files Unencrypted</t>
  </si>
  <si>
    <t>V008</t>
  </si>
  <si>
    <t>Backups Not Tested</t>
  </si>
  <si>
    <t>V009</t>
  </si>
  <si>
    <t>MFA Disabled</t>
  </si>
  <si>
    <t>V010</t>
  </si>
  <si>
    <t>Firewall Rules Misconfigured</t>
  </si>
  <si>
    <t>A</t>
  </si>
  <si>
    <t>B</t>
  </si>
  <si>
    <t>Risk Score Range</t>
  </si>
  <si>
    <t>1–5</t>
  </si>
  <si>
    <t>Low</t>
  </si>
  <si>
    <t>6–10</t>
  </si>
  <si>
    <t>11–15</t>
  </si>
  <si>
    <t>16–25</t>
  </si>
  <si>
    <t>Impact ↓ / Likelihood →</t>
  </si>
  <si>
    <t>Metric</t>
  </si>
  <si>
    <t>Value</t>
  </si>
  <si>
    <t>Total Assets</t>
  </si>
  <si>
    <t>Total Risks</t>
  </si>
  <si>
    <t>Critical Risks</t>
  </si>
  <si>
    <t>High Risks</t>
  </si>
  <si>
    <t>Medium Risks</t>
  </si>
  <si>
    <t>Low Risks</t>
  </si>
  <si>
    <t>Control ID</t>
  </si>
  <si>
    <t>Control Name</t>
  </si>
  <si>
    <t>Status</t>
  </si>
  <si>
    <t>Priority</t>
  </si>
  <si>
    <t>Recommendation</t>
  </si>
  <si>
    <t>C001</t>
  </si>
  <si>
    <t>Multi-Factor Authentication (MFA)</t>
  </si>
  <si>
    <t>Access Control</t>
  </si>
  <si>
    <t>No</t>
  </si>
  <si>
    <t>Enable MFA for all users</t>
  </si>
  <si>
    <t>C002</t>
  </si>
  <si>
    <t>Password Policy</t>
  </si>
  <si>
    <t>Identity Management</t>
  </si>
  <si>
    <t>Yes</t>
  </si>
  <si>
    <t>Review every 90 days</t>
  </si>
  <si>
    <t>C003</t>
  </si>
  <si>
    <t>Antivirus Protection</t>
  </si>
  <si>
    <t>Keep signatures updated</t>
  </si>
  <si>
    <t>C004</t>
  </si>
  <si>
    <t>Operating System Patching</t>
  </si>
  <si>
    <t>Apply monthly security patches</t>
  </si>
  <si>
    <t>C005</t>
  </si>
  <si>
    <t>Firewall Configuration</t>
  </si>
  <si>
    <t>Review firewall rules quarterly</t>
  </si>
  <si>
    <t>C006</t>
  </si>
  <si>
    <t>Data Encryption</t>
  </si>
  <si>
    <t>Data Protection</t>
  </si>
  <si>
    <t>Partial</t>
  </si>
  <si>
    <t>Encrypt all sensitive files</t>
  </si>
  <si>
    <t>C007</t>
  </si>
  <si>
    <t>Security Awareness Training</t>
  </si>
  <si>
    <t>Security Awareness</t>
  </si>
  <si>
    <t>Conduct quarterly training</t>
  </si>
  <si>
    <t>C008</t>
  </si>
  <si>
    <t>Backup and Recovery</t>
  </si>
  <si>
    <t>Business Continuity</t>
  </si>
  <si>
    <t>Test backups monthly</t>
  </si>
  <si>
    <t>C009</t>
  </si>
  <si>
    <t>Incident Response Plan</t>
  </si>
  <si>
    <t>Incident Management</t>
  </si>
  <si>
    <t>Develop and test an IR plan</t>
  </si>
  <si>
    <t>C010</t>
  </si>
  <si>
    <t>Asset Inventory</t>
  </si>
  <si>
    <t>Asset Management</t>
  </si>
  <si>
    <t>Update inventory monthly</t>
  </si>
  <si>
    <t>Count</t>
  </si>
  <si>
    <t>Total Controls</t>
  </si>
  <si>
    <t>Compliance Score</t>
  </si>
  <si>
    <t>Compliance Percentage:</t>
  </si>
  <si>
    <t>Compliance Rating</t>
  </si>
  <si>
    <t>Compliance %</t>
  </si>
  <si>
    <t>Rating</t>
  </si>
  <si>
    <t>90–100</t>
  </si>
  <si>
    <t>Excellent</t>
  </si>
  <si>
    <t>75–89</t>
  </si>
  <si>
    <t>Good</t>
  </si>
  <si>
    <t>60–74</t>
  </si>
  <si>
    <t>Fair</t>
  </si>
  <si>
    <t>Below 60</t>
  </si>
  <si>
    <t>Poor</t>
  </si>
  <si>
    <t>Missing Control</t>
  </si>
  <si>
    <t>Risk</t>
  </si>
  <si>
    <t>MFA</t>
  </si>
  <si>
    <t>Account compromise</t>
  </si>
  <si>
    <t>Malware and ransomware</t>
  </si>
  <si>
    <t>Phishing attacks</t>
  </si>
  <si>
    <t>Slow incident recovery</t>
  </si>
  <si>
    <t>Compliant Controls</t>
  </si>
  <si>
    <t>Partial Controls</t>
  </si>
  <si>
    <t>Non-Compliant Controls</t>
  </si>
  <si>
    <t>Compliance Percentage</t>
  </si>
  <si>
    <t>Recommendation ID</t>
  </si>
  <si>
    <t>Related Control/Risk</t>
  </si>
  <si>
    <t>Expected Benefit</t>
  </si>
  <si>
    <t>REC001</t>
  </si>
  <si>
    <t>Enable Multi-Factor Authentication for all user and administrator accounts.</t>
  </si>
  <si>
    <t>Reduces the risk of unauthorized access.</t>
  </si>
  <si>
    <t>Open</t>
  </si>
  <si>
    <t>REC002</t>
  </si>
  <si>
    <t>Implement a monthly patch management process for all systems.</t>
  </si>
  <si>
    <t>Reduces exposure to known vulnerabilities.</t>
  </si>
  <si>
    <t>REC003</t>
  </si>
  <si>
    <t>Enforce strong password policies and password expiration.</t>
  </si>
  <si>
    <t>Improves account security.</t>
  </si>
  <si>
    <t>REC004</t>
  </si>
  <si>
    <t>Use parameterized queries and validate user input.</t>
  </si>
  <si>
    <t>Protects databases from SQL injection attacks.</t>
  </si>
  <si>
    <t>REC005</t>
  </si>
  <si>
    <t>Encrypt sensitive company data both at rest and in transit.</t>
  </si>
  <si>
    <t>Protects confidential information.</t>
  </si>
  <si>
    <t>REC006</t>
  </si>
  <si>
    <t>Conduct cybersecurity awareness training every quarter.</t>
  </si>
  <si>
    <t>Reduces phishing and social engineering risks.</t>
  </si>
  <si>
    <t>REC007</t>
  </si>
  <si>
    <t>Backup Process</t>
  </si>
  <si>
    <t>Test backup restoration procedures every month.</t>
  </si>
  <si>
    <t>Ensures reliable disaster recovery.</t>
  </si>
  <si>
    <t>REC008</t>
  </si>
  <si>
    <t>Firewall Rules</t>
  </si>
  <si>
    <t>Review firewall rules every quarter.</t>
  </si>
  <si>
    <t>Improves network security.</t>
  </si>
  <si>
    <t>REC009</t>
  </si>
  <si>
    <t>Incident Response</t>
  </si>
  <si>
    <t>Develop and test an Incident Response Plan.</t>
  </si>
  <si>
    <t>Improves response to security incidents.</t>
  </si>
  <si>
    <t>REC010</t>
  </si>
  <si>
    <t>Review and update the asset inventory monthly.</t>
  </si>
  <si>
    <t>Keeps records accurate and supports risk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</si>
</sst>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78A9-6A41-4BEE-9AED-66410A5CC4AA}">
  <dimension ref="A1:G11"/>
  <sheetViews>
    <sheetView workbookViewId="0">
      <selection activeCell="K6" sqref="K6"/>
    </sheetView>
  </sheetViews>
  <sheetFormatPr defaultRowHeight="14.4" x14ac:dyDescent="0.3"/>
  <cols>
    <col min="2" max="2" width="18.77734375" customWidth="1"/>
    <col min="3" max="3" width="21.77734375" customWidth="1"/>
    <col min="4" max="4" width="14.77734375" customWidth="1"/>
    <col min="5" max="5" width="18.44140625" customWidth="1"/>
    <col min="6" max="6" width="18.33203125" customWidth="1"/>
    <col min="7" max="7" width="20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 spans="1:7" ht="28.8" x14ac:dyDescent="0.3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28.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28</v>
      </c>
      <c r="F6" s="2" t="s">
        <v>12</v>
      </c>
      <c r="G6" s="2" t="s">
        <v>30</v>
      </c>
    </row>
    <row r="7" spans="1:7" ht="28.8" x14ac:dyDescent="0.3">
      <c r="A7" s="2" t="s">
        <v>35</v>
      </c>
      <c r="B7" s="2" t="s">
        <v>36</v>
      </c>
      <c r="C7" s="2" t="s">
        <v>9</v>
      </c>
      <c r="D7" s="2" t="s">
        <v>10</v>
      </c>
      <c r="E7" s="2" t="s">
        <v>37</v>
      </c>
      <c r="F7" s="2" t="s">
        <v>12</v>
      </c>
      <c r="G7" s="2" t="s">
        <v>38</v>
      </c>
    </row>
    <row r="8" spans="1:7" ht="28.8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24</v>
      </c>
      <c r="F8" s="2" t="s">
        <v>12</v>
      </c>
      <c r="G8" s="2" t="s">
        <v>43</v>
      </c>
    </row>
    <row r="9" spans="1:7" ht="28.8" x14ac:dyDescent="0.3">
      <c r="A9" s="2" t="s">
        <v>44</v>
      </c>
      <c r="B9" s="2" t="s">
        <v>45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46</v>
      </c>
    </row>
    <row r="10" spans="1:7" ht="28.8" x14ac:dyDescent="0.3">
      <c r="A10" s="2" t="s">
        <v>47</v>
      </c>
      <c r="B10" s="2" t="s">
        <v>48</v>
      </c>
      <c r="C10" s="2" t="s">
        <v>9</v>
      </c>
      <c r="D10" s="2" t="s">
        <v>49</v>
      </c>
      <c r="E10" s="2" t="s">
        <v>11</v>
      </c>
      <c r="F10" s="2" t="s">
        <v>29</v>
      </c>
      <c r="G10" s="2" t="s">
        <v>50</v>
      </c>
    </row>
    <row r="11" spans="1:7" ht="28.8" x14ac:dyDescent="0.3">
      <c r="A11" s="2" t="s">
        <v>51</v>
      </c>
      <c r="B11" s="2" t="s">
        <v>52</v>
      </c>
      <c r="C11" s="2" t="s">
        <v>9</v>
      </c>
      <c r="D11" s="2" t="s">
        <v>53</v>
      </c>
      <c r="E11" s="2" t="s">
        <v>11</v>
      </c>
      <c r="F11" s="2" t="s">
        <v>54</v>
      </c>
      <c r="G11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ED18-9AC8-493A-8595-028121E08F1D}">
  <dimension ref="A1:D11"/>
  <sheetViews>
    <sheetView workbookViewId="0">
      <selection activeCell="F2" sqref="F2"/>
    </sheetView>
  </sheetViews>
  <sheetFormatPr defaultRowHeight="14.4" x14ac:dyDescent="0.3"/>
  <cols>
    <col min="1" max="1" width="28.21875" customWidth="1"/>
    <col min="2" max="2" width="24.77734375" customWidth="1"/>
    <col min="3" max="3" width="20.88671875" customWidth="1"/>
    <col min="4" max="4" width="38.33203125" customWidth="1"/>
  </cols>
  <sheetData>
    <row r="1" spans="1:4" ht="28.8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ht="43.2" x14ac:dyDescent="0.3">
      <c r="A2" s="3">
        <v>1</v>
      </c>
      <c r="B2" s="2" t="s">
        <v>60</v>
      </c>
      <c r="C2" s="2" t="s">
        <v>61</v>
      </c>
      <c r="D2" s="2" t="s">
        <v>62</v>
      </c>
    </row>
    <row r="3" spans="1:4" ht="43.2" x14ac:dyDescent="0.3">
      <c r="A3" s="3">
        <v>2</v>
      </c>
      <c r="B3" s="2" t="s">
        <v>63</v>
      </c>
      <c r="C3" s="2" t="s">
        <v>64</v>
      </c>
      <c r="D3" s="2" t="s">
        <v>65</v>
      </c>
    </row>
    <row r="4" spans="1:4" ht="57.6" x14ac:dyDescent="0.3">
      <c r="A4" s="3">
        <v>3</v>
      </c>
      <c r="B4" s="2" t="s">
        <v>66</v>
      </c>
      <c r="C4" s="2" t="s">
        <v>67</v>
      </c>
      <c r="D4" s="2" t="s">
        <v>68</v>
      </c>
    </row>
    <row r="5" spans="1:4" ht="28.8" x14ac:dyDescent="0.3">
      <c r="A5" s="3">
        <v>4</v>
      </c>
      <c r="B5" s="2" t="s">
        <v>69</v>
      </c>
      <c r="C5" s="2" t="s">
        <v>70</v>
      </c>
      <c r="D5" s="2" t="s">
        <v>71</v>
      </c>
    </row>
    <row r="6" spans="1:4" ht="28.8" x14ac:dyDescent="0.3">
      <c r="A6" s="3">
        <v>5</v>
      </c>
      <c r="B6" s="2" t="s">
        <v>72</v>
      </c>
      <c r="C6" s="2" t="s">
        <v>73</v>
      </c>
      <c r="D6" s="2" t="s">
        <v>74</v>
      </c>
    </row>
    <row r="7" spans="1:4" ht="43.2" x14ac:dyDescent="0.3">
      <c r="A7" s="3">
        <v>6</v>
      </c>
      <c r="B7" s="2" t="s">
        <v>75</v>
      </c>
      <c r="C7" s="2" t="s">
        <v>76</v>
      </c>
      <c r="D7" s="2" t="s">
        <v>77</v>
      </c>
    </row>
    <row r="8" spans="1:4" ht="43.2" x14ac:dyDescent="0.3">
      <c r="A8" s="3">
        <v>7</v>
      </c>
      <c r="B8" s="2" t="s">
        <v>78</v>
      </c>
      <c r="C8" s="2" t="s">
        <v>79</v>
      </c>
      <c r="D8" s="2" t="s">
        <v>80</v>
      </c>
    </row>
    <row r="9" spans="1:4" ht="28.8" x14ac:dyDescent="0.3">
      <c r="A9" s="3">
        <v>8</v>
      </c>
      <c r="B9" s="2" t="s">
        <v>81</v>
      </c>
      <c r="C9" s="2" t="s">
        <v>82</v>
      </c>
      <c r="D9" s="2" t="s">
        <v>83</v>
      </c>
    </row>
    <row r="10" spans="1:4" ht="43.2" x14ac:dyDescent="0.3">
      <c r="A10" s="3">
        <v>9</v>
      </c>
      <c r="B10" s="2" t="s">
        <v>84</v>
      </c>
      <c r="C10" s="2" t="s">
        <v>69</v>
      </c>
      <c r="D10" s="2" t="s">
        <v>85</v>
      </c>
    </row>
    <row r="11" spans="1:4" ht="43.2" x14ac:dyDescent="0.3">
      <c r="A11" s="3">
        <v>10</v>
      </c>
      <c r="B11" s="2" t="s">
        <v>86</v>
      </c>
      <c r="C11" s="2" t="s">
        <v>87</v>
      </c>
      <c r="D11" s="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3554-6C3D-4A40-9654-DA9320BA30F4}">
  <dimension ref="A1:H11"/>
  <sheetViews>
    <sheetView tabSelected="1" workbookViewId="0">
      <selection activeCell="J8" sqref="J8"/>
    </sheetView>
  </sheetViews>
  <sheetFormatPr defaultRowHeight="14.4" x14ac:dyDescent="0.3"/>
  <cols>
    <col min="4" max="4" width="14.6640625" customWidth="1"/>
    <col min="5" max="5" width="13.44140625" customWidth="1"/>
    <col min="7" max="7" width="17.88671875" customWidth="1"/>
    <col min="8" max="8" width="25.88671875" customWidth="1"/>
  </cols>
  <sheetData>
    <row r="1" spans="1:8" ht="28.8" x14ac:dyDescent="0.3">
      <c r="A1" s="1" t="s">
        <v>89</v>
      </c>
      <c r="B1" s="1" t="s">
        <v>56</v>
      </c>
      <c r="C1" s="1" t="s">
        <v>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ht="28.8" x14ac:dyDescent="0.3">
      <c r="A2" s="2" t="s">
        <v>95</v>
      </c>
      <c r="B2" s="3">
        <v>1</v>
      </c>
      <c r="C2" s="2" t="s">
        <v>25</v>
      </c>
      <c r="D2" s="2" t="s">
        <v>96</v>
      </c>
      <c r="E2" s="2">
        <v>4</v>
      </c>
      <c r="F2" s="2">
        <v>4</v>
      </c>
      <c r="G2" s="2">
        <f>E2*F2</f>
        <v>16</v>
      </c>
      <c r="H2" s="2" t="str">
        <f>IF(G2&lt;=5,"Low",
IF(G2&lt;=10,"Medium",
IF(G2&lt;=15,"High","Critical")))</f>
        <v>Critical</v>
      </c>
    </row>
    <row r="3" spans="1:8" ht="28.8" x14ac:dyDescent="0.3">
      <c r="A3" s="2" t="s">
        <v>97</v>
      </c>
      <c r="B3" s="3">
        <v>2</v>
      </c>
      <c r="C3" s="2" t="s">
        <v>7</v>
      </c>
      <c r="D3" s="2" t="s">
        <v>98</v>
      </c>
      <c r="E3" s="2">
        <v>5</v>
      </c>
      <c r="F3" s="2">
        <v>5</v>
      </c>
      <c r="G3" s="2">
        <f t="shared" ref="G3:G11" si="0">E3*F3</f>
        <v>25</v>
      </c>
      <c r="H3" s="2" t="str">
        <f t="shared" ref="H3:H11" si="1">IF(G3&lt;=5,"Low",
IF(G3&lt;=10,"Medium",
IF(G3&lt;=15,"High","Critical")))</f>
        <v>Critical</v>
      </c>
    </row>
    <row r="4" spans="1:8" ht="43.2" x14ac:dyDescent="0.3">
      <c r="A4" s="2" t="s">
        <v>99</v>
      </c>
      <c r="B4" s="3">
        <v>3</v>
      </c>
      <c r="C4" s="2" t="s">
        <v>25</v>
      </c>
      <c r="D4" s="2" t="s">
        <v>100</v>
      </c>
      <c r="E4" s="2">
        <v>4</v>
      </c>
      <c r="F4" s="2">
        <v>3</v>
      </c>
      <c r="G4" s="2">
        <f t="shared" si="0"/>
        <v>12</v>
      </c>
      <c r="H4" s="2" t="str">
        <f t="shared" si="1"/>
        <v>High</v>
      </c>
    </row>
    <row r="5" spans="1:8" ht="28.8" x14ac:dyDescent="0.3">
      <c r="A5" s="2" t="s">
        <v>101</v>
      </c>
      <c r="B5" s="3">
        <v>4</v>
      </c>
      <c r="C5" s="2" t="s">
        <v>25</v>
      </c>
      <c r="D5" s="2" t="s">
        <v>102</v>
      </c>
      <c r="E5" s="2">
        <v>5</v>
      </c>
      <c r="F5" s="2">
        <v>4</v>
      </c>
      <c r="G5" s="2">
        <f t="shared" si="0"/>
        <v>20</v>
      </c>
      <c r="H5" s="2" t="str">
        <f t="shared" si="1"/>
        <v>Critical</v>
      </c>
    </row>
    <row r="6" spans="1:8" ht="28.8" x14ac:dyDescent="0.3">
      <c r="A6" s="2" t="s">
        <v>103</v>
      </c>
      <c r="B6" s="3">
        <v>5</v>
      </c>
      <c r="C6" s="2" t="s">
        <v>14</v>
      </c>
      <c r="D6" s="2" t="s">
        <v>104</v>
      </c>
      <c r="E6" s="2">
        <v>3</v>
      </c>
      <c r="F6" s="2">
        <v>5</v>
      </c>
      <c r="G6" s="2">
        <f t="shared" si="0"/>
        <v>15</v>
      </c>
      <c r="H6" s="2" t="str">
        <f t="shared" si="1"/>
        <v>High</v>
      </c>
    </row>
    <row r="7" spans="1:8" ht="28.8" x14ac:dyDescent="0.3">
      <c r="A7" s="2" t="s">
        <v>105</v>
      </c>
      <c r="B7" s="3">
        <v>6</v>
      </c>
      <c r="C7" s="2" t="s">
        <v>14</v>
      </c>
      <c r="D7" s="2" t="s">
        <v>106</v>
      </c>
      <c r="E7" s="2">
        <v>4</v>
      </c>
      <c r="F7" s="2">
        <v>5</v>
      </c>
      <c r="G7" s="2">
        <f t="shared" si="0"/>
        <v>20</v>
      </c>
      <c r="H7" s="2" t="str">
        <f t="shared" si="1"/>
        <v>Critical</v>
      </c>
    </row>
    <row r="8" spans="1:8" ht="28.8" x14ac:dyDescent="0.3">
      <c r="A8" s="2" t="s">
        <v>107</v>
      </c>
      <c r="B8" s="3">
        <v>7</v>
      </c>
      <c r="C8" s="2" t="s">
        <v>44</v>
      </c>
      <c r="D8" s="2" t="s">
        <v>108</v>
      </c>
      <c r="E8" s="2">
        <v>4</v>
      </c>
      <c r="F8" s="2">
        <v>5</v>
      </c>
      <c r="G8" s="2">
        <f t="shared" si="0"/>
        <v>20</v>
      </c>
      <c r="H8" s="2" t="str">
        <f t="shared" si="1"/>
        <v>Critical</v>
      </c>
    </row>
    <row r="9" spans="1:8" ht="28.8" x14ac:dyDescent="0.3">
      <c r="A9" s="2" t="s">
        <v>109</v>
      </c>
      <c r="B9" s="3">
        <v>8</v>
      </c>
      <c r="C9" s="2" t="s">
        <v>44</v>
      </c>
      <c r="D9" s="2" t="s">
        <v>110</v>
      </c>
      <c r="E9" s="2">
        <v>3</v>
      </c>
      <c r="F9" s="2">
        <v>4</v>
      </c>
      <c r="G9" s="2">
        <f t="shared" si="0"/>
        <v>12</v>
      </c>
      <c r="H9" s="2" t="str">
        <f t="shared" si="1"/>
        <v>High</v>
      </c>
    </row>
    <row r="10" spans="1:8" x14ac:dyDescent="0.3">
      <c r="A10" s="2" t="s">
        <v>111</v>
      </c>
      <c r="B10" s="3">
        <v>9</v>
      </c>
      <c r="C10" s="2" t="s">
        <v>35</v>
      </c>
      <c r="D10" s="2" t="s">
        <v>112</v>
      </c>
      <c r="E10" s="2">
        <v>5</v>
      </c>
      <c r="F10" s="2">
        <v>5</v>
      </c>
      <c r="G10" s="2">
        <f t="shared" si="0"/>
        <v>25</v>
      </c>
      <c r="H10" s="2" t="str">
        <f t="shared" si="1"/>
        <v>Critical</v>
      </c>
    </row>
    <row r="11" spans="1:8" ht="28.8" x14ac:dyDescent="0.3">
      <c r="A11" s="2" t="s">
        <v>113</v>
      </c>
      <c r="B11" s="3">
        <v>10</v>
      </c>
      <c r="C11" s="2" t="s">
        <v>39</v>
      </c>
      <c r="D11" s="2" t="s">
        <v>114</v>
      </c>
      <c r="E11" s="2">
        <v>3</v>
      </c>
      <c r="F11" s="2">
        <v>4</v>
      </c>
      <c r="G11" s="2">
        <f t="shared" si="0"/>
        <v>12</v>
      </c>
      <c r="H11" s="2" t="str">
        <f t="shared" si="1"/>
        <v>High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7234-84F2-44B6-B229-72B2614F44E8}">
  <dimension ref="A1:B14"/>
  <sheetViews>
    <sheetView workbookViewId="0">
      <selection activeCell="A8" sqref="A8"/>
    </sheetView>
  </sheetViews>
  <sheetFormatPr defaultRowHeight="14.4" x14ac:dyDescent="0.3"/>
  <cols>
    <col min="1" max="1" width="12.44140625" customWidth="1"/>
    <col min="2" max="2" width="13.21875" customWidth="1"/>
  </cols>
  <sheetData>
    <row r="1" spans="1:2" x14ac:dyDescent="0.3">
      <c r="A1" s="1" t="s">
        <v>124</v>
      </c>
      <c r="B1" s="1" t="s">
        <v>125</v>
      </c>
    </row>
    <row r="2" spans="1:2" ht="28.8" x14ac:dyDescent="0.3">
      <c r="A2" s="2" t="s">
        <v>126</v>
      </c>
      <c r="B2" s="2">
        <f>COUNTA(Assets!A2:A100)</f>
        <v>10</v>
      </c>
    </row>
    <row r="3" spans="1:2" ht="28.8" x14ac:dyDescent="0.3">
      <c r="A3" s="2" t="s">
        <v>127</v>
      </c>
      <c r="B3" s="2">
        <f>COUNTA(Risks!A2:A100)</f>
        <v>10</v>
      </c>
    </row>
    <row r="4" spans="1:2" ht="28.8" x14ac:dyDescent="0.3">
      <c r="A4" s="2" t="s">
        <v>128</v>
      </c>
      <c r="B4" s="2">
        <f>COUNTIF(Vulnerabilities!H:H,"Critical")</f>
        <v>6</v>
      </c>
    </row>
    <row r="5" spans="1:2" ht="28.8" x14ac:dyDescent="0.3">
      <c r="A5" s="2" t="s">
        <v>129</v>
      </c>
      <c r="B5" s="2">
        <f>COUNTIF(Vulnerabilities!H:H,"High")</f>
        <v>4</v>
      </c>
    </row>
    <row r="6" spans="1:2" ht="28.8" x14ac:dyDescent="0.3">
      <c r="A6" s="2" t="s">
        <v>130</v>
      </c>
      <c r="B6" s="2">
        <f>COUNTIF(Vulnerabilities!H:H,"Medium")</f>
        <v>0</v>
      </c>
    </row>
    <row r="7" spans="1:2" x14ac:dyDescent="0.3">
      <c r="A7" s="2" t="s">
        <v>131</v>
      </c>
      <c r="B7" s="2">
        <f>COUNTIF(Vulnerabilities!H:H,"Low")</f>
        <v>0</v>
      </c>
    </row>
    <row r="8" spans="1:2" x14ac:dyDescent="0.3">
      <c r="A8" s="1" t="s">
        <v>124</v>
      </c>
      <c r="B8" s="9" t="s">
        <v>125</v>
      </c>
    </row>
    <row r="9" spans="1:2" x14ac:dyDescent="0.3">
      <c r="A9" s="2" t="s">
        <v>178</v>
      </c>
      <c r="B9" s="8">
        <v>10</v>
      </c>
    </row>
    <row r="10" spans="1:2" ht="28.8" x14ac:dyDescent="0.3">
      <c r="A10" s="2" t="s">
        <v>199</v>
      </c>
      <c r="B10" s="8">
        <v>4</v>
      </c>
    </row>
    <row r="11" spans="1:2" ht="28.8" x14ac:dyDescent="0.3">
      <c r="A11" s="2" t="s">
        <v>200</v>
      </c>
      <c r="B11" s="8">
        <v>2</v>
      </c>
    </row>
    <row r="12" spans="1:2" ht="43.2" x14ac:dyDescent="0.3">
      <c r="A12" s="2" t="s">
        <v>201</v>
      </c>
      <c r="B12" s="8">
        <v>4</v>
      </c>
    </row>
    <row r="13" spans="1:2" ht="28.8" x14ac:dyDescent="0.3">
      <c r="A13" s="2" t="s">
        <v>202</v>
      </c>
      <c r="B13" s="11">
        <v>0.5</v>
      </c>
    </row>
    <row r="14" spans="1:2" ht="28.8" x14ac:dyDescent="0.3">
      <c r="A14" s="2" t="s">
        <v>181</v>
      </c>
      <c r="B14" s="8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6DD8-5856-4CC0-93CA-615986E36E55}">
  <dimension ref="A1:F6"/>
  <sheetViews>
    <sheetView workbookViewId="0">
      <selection activeCell="F20" sqref="F20"/>
    </sheetView>
  </sheetViews>
  <sheetFormatPr defaultRowHeight="14.4" x14ac:dyDescent="0.3"/>
  <cols>
    <col min="1" max="1" width="22.6640625" customWidth="1"/>
  </cols>
  <sheetData>
    <row r="1" spans="1:6" ht="57.6" x14ac:dyDescent="0.3">
      <c r="A1" s="1" t="s">
        <v>123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s="2">
        <v>5</v>
      </c>
      <c r="B2" s="6">
        <v>5</v>
      </c>
      <c r="C2" s="7">
        <v>10</v>
      </c>
      <c r="D2" s="7">
        <v>15</v>
      </c>
      <c r="E2" s="5">
        <v>20</v>
      </c>
      <c r="F2" s="5">
        <v>25</v>
      </c>
    </row>
    <row r="3" spans="1:6" x14ac:dyDescent="0.3">
      <c r="A3" s="2">
        <v>4</v>
      </c>
      <c r="B3" s="5">
        <v>4</v>
      </c>
      <c r="C3" s="6">
        <v>8</v>
      </c>
      <c r="D3" s="7">
        <v>12</v>
      </c>
      <c r="E3" s="5">
        <v>16</v>
      </c>
      <c r="F3" s="5">
        <v>20</v>
      </c>
    </row>
    <row r="4" spans="1:6" x14ac:dyDescent="0.3">
      <c r="A4" s="2">
        <v>3</v>
      </c>
      <c r="B4" s="5">
        <v>3</v>
      </c>
      <c r="C4" s="6">
        <v>6</v>
      </c>
      <c r="D4" s="6">
        <v>9</v>
      </c>
      <c r="E4" s="7">
        <v>12</v>
      </c>
      <c r="F4" s="7">
        <v>15</v>
      </c>
    </row>
    <row r="5" spans="1:6" x14ac:dyDescent="0.3">
      <c r="A5" s="2">
        <v>2</v>
      </c>
      <c r="B5" s="5">
        <v>2</v>
      </c>
      <c r="C5" s="5">
        <v>4</v>
      </c>
      <c r="D5" s="6">
        <v>6</v>
      </c>
      <c r="E5" s="6">
        <v>8</v>
      </c>
      <c r="F5" s="7">
        <v>10</v>
      </c>
    </row>
    <row r="6" spans="1:6" x14ac:dyDescent="0.3">
      <c r="A6" s="2">
        <v>1</v>
      </c>
      <c r="B6" s="5">
        <v>1</v>
      </c>
      <c r="C6" s="5">
        <v>2</v>
      </c>
      <c r="D6" s="5">
        <v>3</v>
      </c>
      <c r="E6" s="5">
        <v>4</v>
      </c>
      <c r="F6" s="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F6C4-AB08-455D-B7F7-A63DCEFF4903}">
  <dimension ref="A1:B6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115</v>
      </c>
      <c r="B1" s="1" t="s">
        <v>116</v>
      </c>
    </row>
    <row r="2" spans="1:2" ht="43.2" x14ac:dyDescent="0.3">
      <c r="A2" s="4" t="s">
        <v>117</v>
      </c>
      <c r="B2" s="4" t="s">
        <v>94</v>
      </c>
    </row>
    <row r="3" spans="1:2" x14ac:dyDescent="0.3">
      <c r="A3" s="2" t="s">
        <v>118</v>
      </c>
      <c r="B3" s="2" t="s">
        <v>119</v>
      </c>
    </row>
    <row r="4" spans="1:2" x14ac:dyDescent="0.3">
      <c r="A4" s="2" t="s">
        <v>120</v>
      </c>
      <c r="B4" s="2" t="s">
        <v>29</v>
      </c>
    </row>
    <row r="5" spans="1:2" x14ac:dyDescent="0.3">
      <c r="A5" s="2" t="s">
        <v>121</v>
      </c>
      <c r="B5" s="2" t="s">
        <v>12</v>
      </c>
    </row>
    <row r="6" spans="1:2" x14ac:dyDescent="0.3">
      <c r="A6" s="2" t="s">
        <v>122</v>
      </c>
      <c r="B6" s="2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5B55-8A87-423F-BAC7-1647686A346B}">
  <dimension ref="A1:F11"/>
  <sheetViews>
    <sheetView topLeftCell="A7" workbookViewId="0">
      <selection activeCell="K5" sqref="K5"/>
    </sheetView>
  </sheetViews>
  <sheetFormatPr defaultRowHeight="14.4" x14ac:dyDescent="0.3"/>
  <cols>
    <col min="2" max="2" width="21.6640625" customWidth="1"/>
    <col min="3" max="3" width="21.77734375" customWidth="1"/>
    <col min="6" max="6" width="43.21875" customWidth="1"/>
  </cols>
  <sheetData>
    <row r="1" spans="1:6" ht="28.8" x14ac:dyDescent="0.3">
      <c r="A1" s="1" t="s">
        <v>132</v>
      </c>
      <c r="B1" s="1" t="s">
        <v>133</v>
      </c>
      <c r="C1" s="1" t="s">
        <v>58</v>
      </c>
      <c r="D1" s="1" t="s">
        <v>134</v>
      </c>
      <c r="E1" s="1" t="s">
        <v>135</v>
      </c>
      <c r="F1" s="1" t="s">
        <v>136</v>
      </c>
    </row>
    <row r="2" spans="1:6" ht="72" x14ac:dyDescent="0.3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12</v>
      </c>
      <c r="F2" s="2" t="s">
        <v>141</v>
      </c>
    </row>
    <row r="3" spans="1:6" ht="43.2" x14ac:dyDescent="0.3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12</v>
      </c>
      <c r="F3" s="2" t="s">
        <v>146</v>
      </c>
    </row>
    <row r="4" spans="1:6" ht="43.2" x14ac:dyDescent="0.3">
      <c r="A4" s="2" t="s">
        <v>147</v>
      </c>
      <c r="B4" s="2" t="s">
        <v>148</v>
      </c>
      <c r="C4" s="2" t="s">
        <v>70</v>
      </c>
      <c r="D4" s="2" t="s">
        <v>145</v>
      </c>
      <c r="E4" s="2" t="s">
        <v>12</v>
      </c>
      <c r="F4" s="2" t="s">
        <v>149</v>
      </c>
    </row>
    <row r="5" spans="1:6" ht="57.6" x14ac:dyDescent="0.3">
      <c r="A5" s="2" t="s">
        <v>150</v>
      </c>
      <c r="B5" s="2" t="s">
        <v>151</v>
      </c>
      <c r="C5" s="2" t="s">
        <v>64</v>
      </c>
      <c r="D5" s="2" t="s">
        <v>140</v>
      </c>
      <c r="E5" s="2" t="s">
        <v>12</v>
      </c>
      <c r="F5" s="2" t="s">
        <v>152</v>
      </c>
    </row>
    <row r="6" spans="1:6" ht="57.6" x14ac:dyDescent="0.3">
      <c r="A6" s="2" t="s">
        <v>153</v>
      </c>
      <c r="B6" s="2" t="s">
        <v>154</v>
      </c>
      <c r="C6" s="2" t="s">
        <v>87</v>
      </c>
      <c r="D6" s="2" t="s">
        <v>145</v>
      </c>
      <c r="E6" s="2" t="s">
        <v>12</v>
      </c>
      <c r="F6" s="2" t="s">
        <v>155</v>
      </c>
    </row>
    <row r="7" spans="1:6" ht="57.6" x14ac:dyDescent="0.3">
      <c r="A7" s="2" t="s">
        <v>156</v>
      </c>
      <c r="B7" s="2" t="s">
        <v>157</v>
      </c>
      <c r="C7" s="2" t="s">
        <v>158</v>
      </c>
      <c r="D7" s="2" t="s">
        <v>159</v>
      </c>
      <c r="E7" s="2" t="s">
        <v>12</v>
      </c>
      <c r="F7" s="2" t="s">
        <v>160</v>
      </c>
    </row>
    <row r="8" spans="1:6" ht="57.6" x14ac:dyDescent="0.3">
      <c r="A8" s="2" t="s">
        <v>161</v>
      </c>
      <c r="B8" s="2" t="s">
        <v>162</v>
      </c>
      <c r="C8" s="2" t="s">
        <v>163</v>
      </c>
      <c r="D8" s="2" t="s">
        <v>140</v>
      </c>
      <c r="E8" s="2" t="s">
        <v>29</v>
      </c>
      <c r="F8" s="2" t="s">
        <v>164</v>
      </c>
    </row>
    <row r="9" spans="1:6" ht="43.2" x14ac:dyDescent="0.3">
      <c r="A9" s="2" t="s">
        <v>165</v>
      </c>
      <c r="B9" s="2" t="s">
        <v>166</v>
      </c>
      <c r="C9" s="2" t="s">
        <v>167</v>
      </c>
      <c r="D9" s="2" t="s">
        <v>159</v>
      </c>
      <c r="E9" s="2" t="s">
        <v>12</v>
      </c>
      <c r="F9" s="2" t="s">
        <v>168</v>
      </c>
    </row>
    <row r="10" spans="1:6" ht="43.2" x14ac:dyDescent="0.3">
      <c r="A10" s="2" t="s">
        <v>169</v>
      </c>
      <c r="B10" s="2" t="s">
        <v>170</v>
      </c>
      <c r="C10" s="2" t="s">
        <v>171</v>
      </c>
      <c r="D10" s="2" t="s">
        <v>140</v>
      </c>
      <c r="E10" s="2" t="s">
        <v>12</v>
      </c>
      <c r="F10" s="2" t="s">
        <v>172</v>
      </c>
    </row>
    <row r="11" spans="1:6" ht="43.2" x14ac:dyDescent="0.3">
      <c r="A11" s="2" t="s">
        <v>173</v>
      </c>
      <c r="B11" s="2" t="s">
        <v>174</v>
      </c>
      <c r="C11" s="2" t="s">
        <v>175</v>
      </c>
      <c r="D11" s="2" t="s">
        <v>145</v>
      </c>
      <c r="E11" s="2" t="s">
        <v>29</v>
      </c>
      <c r="F11" s="2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0CAC-CBE8-40E5-AA88-8388A0251E52}">
  <dimension ref="A1:B23"/>
  <sheetViews>
    <sheetView topLeftCell="A11" workbookViewId="0">
      <selection activeCell="H20" sqref="H20"/>
    </sheetView>
  </sheetViews>
  <sheetFormatPr defaultRowHeight="14.4" x14ac:dyDescent="0.3"/>
  <cols>
    <col min="1" max="1" width="17" customWidth="1"/>
  </cols>
  <sheetData>
    <row r="1" spans="1:2" x14ac:dyDescent="0.3">
      <c r="A1" s="1" t="s">
        <v>134</v>
      </c>
      <c r="B1" s="9" t="s">
        <v>177</v>
      </c>
    </row>
    <row r="2" spans="1:2" x14ac:dyDescent="0.3">
      <c r="A2" s="2" t="s">
        <v>145</v>
      </c>
      <c r="B2" s="8">
        <f>COUNTIF(Compliance!D:D,"Yes")</f>
        <v>4</v>
      </c>
    </row>
    <row r="3" spans="1:2" x14ac:dyDescent="0.3">
      <c r="A3" s="2" t="s">
        <v>159</v>
      </c>
      <c r="B3" s="8">
        <f>COUNTIF(Compliance!D:D,"Partial")</f>
        <v>2</v>
      </c>
    </row>
    <row r="4" spans="1:2" x14ac:dyDescent="0.3">
      <c r="A4" s="2" t="s">
        <v>140</v>
      </c>
      <c r="B4" s="8">
        <f>COUNTIF(Compliance!D:D,"No")</f>
        <v>4</v>
      </c>
    </row>
    <row r="5" spans="1:2" ht="28.8" x14ac:dyDescent="0.3">
      <c r="A5" s="2" t="s">
        <v>178</v>
      </c>
      <c r="B5" s="8">
        <f>COUNTA(Compliance!A2:A100)</f>
        <v>10</v>
      </c>
    </row>
    <row r="7" spans="1:2" x14ac:dyDescent="0.3">
      <c r="A7" s="2" t="s">
        <v>179</v>
      </c>
      <c r="B7" s="10">
        <f>B2*1+B3*0.5</f>
        <v>5</v>
      </c>
    </row>
    <row r="8" spans="1:2" ht="28.8" x14ac:dyDescent="0.3">
      <c r="A8" s="2" t="s">
        <v>180</v>
      </c>
      <c r="B8">
        <f>B7/B5 *100</f>
        <v>50</v>
      </c>
    </row>
    <row r="11" spans="1:2" x14ac:dyDescent="0.3">
      <c r="A11" t="s">
        <v>181</v>
      </c>
    </row>
    <row r="12" spans="1:2" x14ac:dyDescent="0.3">
      <c r="A12" s="1" t="s">
        <v>182</v>
      </c>
      <c r="B12" s="1" t="s">
        <v>183</v>
      </c>
    </row>
    <row r="13" spans="1:2" x14ac:dyDescent="0.3">
      <c r="A13" s="2" t="s">
        <v>184</v>
      </c>
      <c r="B13" s="2" t="s">
        <v>185</v>
      </c>
    </row>
    <row r="14" spans="1:2" x14ac:dyDescent="0.3">
      <c r="A14" s="2" t="s">
        <v>186</v>
      </c>
      <c r="B14" s="2" t="s">
        <v>187</v>
      </c>
    </row>
    <row r="15" spans="1:2" x14ac:dyDescent="0.3">
      <c r="A15" s="2" t="s">
        <v>188</v>
      </c>
      <c r="B15" s="2" t="s">
        <v>189</v>
      </c>
    </row>
    <row r="16" spans="1:2" x14ac:dyDescent="0.3">
      <c r="A16" s="2" t="s">
        <v>190</v>
      </c>
      <c r="B16" s="2" t="s">
        <v>191</v>
      </c>
    </row>
    <row r="19" spans="1:2" x14ac:dyDescent="0.3">
      <c r="A19" s="1" t="s">
        <v>192</v>
      </c>
      <c r="B19" s="1" t="s">
        <v>193</v>
      </c>
    </row>
    <row r="20" spans="1:2" ht="43.2" x14ac:dyDescent="0.3">
      <c r="A20" s="2" t="s">
        <v>194</v>
      </c>
      <c r="B20" s="2" t="s">
        <v>195</v>
      </c>
    </row>
    <row r="21" spans="1:2" ht="57.6" x14ac:dyDescent="0.3">
      <c r="A21" s="2" t="s">
        <v>151</v>
      </c>
      <c r="B21" s="2" t="s">
        <v>196</v>
      </c>
    </row>
    <row r="22" spans="1:2" ht="28.8" x14ac:dyDescent="0.3">
      <c r="A22" s="2" t="s">
        <v>162</v>
      </c>
      <c r="B22" s="2" t="s">
        <v>197</v>
      </c>
    </row>
    <row r="23" spans="1:2" ht="43.2" x14ac:dyDescent="0.3">
      <c r="A23" s="2" t="s">
        <v>170</v>
      </c>
      <c r="B23" s="2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D115-9F55-4DDF-B8D3-FE15C13ACC84}">
  <dimension ref="A1:F11"/>
  <sheetViews>
    <sheetView topLeftCell="A6" workbookViewId="0">
      <selection sqref="A1:F11"/>
    </sheetView>
  </sheetViews>
  <sheetFormatPr defaultRowHeight="14.4" x14ac:dyDescent="0.3"/>
  <cols>
    <col min="4" max="4" width="25.33203125" customWidth="1"/>
    <col min="5" max="5" width="32.21875" customWidth="1"/>
    <col min="6" max="6" width="48.21875" customWidth="1"/>
  </cols>
  <sheetData>
    <row r="1" spans="1:6" ht="43.2" x14ac:dyDescent="0.3">
      <c r="A1" s="1" t="s">
        <v>203</v>
      </c>
      <c r="B1" s="1" t="s">
        <v>204</v>
      </c>
      <c r="C1" s="1" t="s">
        <v>135</v>
      </c>
      <c r="D1" s="1" t="s">
        <v>136</v>
      </c>
      <c r="E1" s="1" t="s">
        <v>205</v>
      </c>
      <c r="F1" s="1" t="s">
        <v>134</v>
      </c>
    </row>
    <row r="2" spans="1:6" ht="158.4" x14ac:dyDescent="0.3">
      <c r="A2" s="2" t="s">
        <v>206</v>
      </c>
      <c r="B2" s="2" t="s">
        <v>112</v>
      </c>
      <c r="C2" s="2" t="s">
        <v>12</v>
      </c>
      <c r="D2" s="2" t="s">
        <v>207</v>
      </c>
      <c r="E2" s="2" t="s">
        <v>208</v>
      </c>
      <c r="F2" s="2" t="s">
        <v>209</v>
      </c>
    </row>
    <row r="3" spans="1:6" ht="129.6" x14ac:dyDescent="0.3">
      <c r="A3" s="2" t="s">
        <v>210</v>
      </c>
      <c r="B3" s="2" t="s">
        <v>98</v>
      </c>
      <c r="C3" s="2" t="s">
        <v>12</v>
      </c>
      <c r="D3" s="2" t="s">
        <v>211</v>
      </c>
      <c r="E3" s="2" t="s">
        <v>212</v>
      </c>
      <c r="F3" s="2" t="s">
        <v>209</v>
      </c>
    </row>
    <row r="4" spans="1:6" ht="115.2" x14ac:dyDescent="0.3">
      <c r="A4" s="2" t="s">
        <v>213</v>
      </c>
      <c r="B4" s="2" t="s">
        <v>96</v>
      </c>
      <c r="C4" s="2" t="s">
        <v>12</v>
      </c>
      <c r="D4" s="2" t="s">
        <v>214</v>
      </c>
      <c r="E4" s="2" t="s">
        <v>215</v>
      </c>
      <c r="F4" s="2" t="s">
        <v>209</v>
      </c>
    </row>
    <row r="5" spans="1:6" ht="115.2" x14ac:dyDescent="0.3">
      <c r="A5" s="2" t="s">
        <v>216</v>
      </c>
      <c r="B5" s="2" t="s">
        <v>75</v>
      </c>
      <c r="C5" s="2" t="s">
        <v>12</v>
      </c>
      <c r="D5" s="2" t="s">
        <v>217</v>
      </c>
      <c r="E5" s="2" t="s">
        <v>218</v>
      </c>
      <c r="F5" s="2" t="s">
        <v>209</v>
      </c>
    </row>
    <row r="6" spans="1:6" ht="100.8" x14ac:dyDescent="0.3">
      <c r="A6" s="2" t="s">
        <v>219</v>
      </c>
      <c r="B6" s="2" t="s">
        <v>157</v>
      </c>
      <c r="C6" s="2" t="s">
        <v>12</v>
      </c>
      <c r="D6" s="2" t="s">
        <v>220</v>
      </c>
      <c r="E6" s="2" t="s">
        <v>221</v>
      </c>
      <c r="F6" s="2" t="s">
        <v>209</v>
      </c>
    </row>
    <row r="7" spans="1:6" ht="100.8" x14ac:dyDescent="0.3">
      <c r="A7" s="2" t="s">
        <v>222</v>
      </c>
      <c r="B7" s="2" t="s">
        <v>163</v>
      </c>
      <c r="C7" s="2" t="s">
        <v>29</v>
      </c>
      <c r="D7" s="2" t="s">
        <v>223</v>
      </c>
      <c r="E7" s="2" t="s">
        <v>224</v>
      </c>
      <c r="F7" s="2" t="s">
        <v>209</v>
      </c>
    </row>
    <row r="8" spans="1:6" ht="100.8" x14ac:dyDescent="0.3">
      <c r="A8" s="2" t="s">
        <v>225</v>
      </c>
      <c r="B8" s="2" t="s">
        <v>226</v>
      </c>
      <c r="C8" s="2" t="s">
        <v>29</v>
      </c>
      <c r="D8" s="2" t="s">
        <v>227</v>
      </c>
      <c r="E8" s="2" t="s">
        <v>228</v>
      </c>
      <c r="F8" s="2" t="s">
        <v>209</v>
      </c>
    </row>
    <row r="9" spans="1:6" ht="72" x14ac:dyDescent="0.3">
      <c r="A9" s="2" t="s">
        <v>229</v>
      </c>
      <c r="B9" s="2" t="s">
        <v>230</v>
      </c>
      <c r="C9" s="2" t="s">
        <v>29</v>
      </c>
      <c r="D9" s="2" t="s">
        <v>231</v>
      </c>
      <c r="E9" s="2" t="s">
        <v>232</v>
      </c>
      <c r="F9" s="2" t="s">
        <v>209</v>
      </c>
    </row>
    <row r="10" spans="1:6" ht="86.4" x14ac:dyDescent="0.3">
      <c r="A10" s="2" t="s">
        <v>233</v>
      </c>
      <c r="B10" s="2" t="s">
        <v>234</v>
      </c>
      <c r="C10" s="2" t="s">
        <v>12</v>
      </c>
      <c r="D10" s="2" t="s">
        <v>235</v>
      </c>
      <c r="E10" s="2" t="s">
        <v>236</v>
      </c>
      <c r="F10" s="2" t="s">
        <v>209</v>
      </c>
    </row>
    <row r="11" spans="1:6" ht="115.2" x14ac:dyDescent="0.3">
      <c r="A11" s="2" t="s">
        <v>237</v>
      </c>
      <c r="B11" s="2" t="s">
        <v>174</v>
      </c>
      <c r="C11" s="2" t="s">
        <v>119</v>
      </c>
      <c r="D11" s="2" t="s">
        <v>238</v>
      </c>
      <c r="E11" s="2" t="s">
        <v>239</v>
      </c>
      <c r="F11" s="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Assets</vt:lpstr>
      <vt:lpstr>Risks</vt:lpstr>
      <vt:lpstr>Vulnerabilities</vt:lpstr>
      <vt:lpstr>Dashboard Data</vt:lpstr>
      <vt:lpstr>Risk Matrix</vt:lpstr>
      <vt:lpstr>Risk Scale</vt:lpstr>
      <vt:lpstr>Compliance</vt:lpstr>
      <vt:lpstr>Compliance Summary.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Mulalo Tharaga</dc:creator>
  <cp:lastModifiedBy>Mulalo Tharaga</cp:lastModifiedBy>
  <dcterms:created xsi:type="dcterms:W3CDTF">2026-08-04T04:10:57Z</dcterms:created>
  <dcterms:modified xsi:type="dcterms:W3CDTF">2026-08-04T08:13:52Z</dcterms:modified>
</cp:coreProperties>
</file>